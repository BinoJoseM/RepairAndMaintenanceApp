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TERCHIP\Downloads\Malankara Institute of Theology\"/>
    </mc:Choice>
  </mc:AlternateContent>
  <xr:revisionPtr revIDLastSave="0" documentId="13_ncr:1_{390529AB-8C44-4BF4-9D9F-FB965DED0B87}" xr6:coauthVersionLast="47" xr6:coauthVersionMax="47" xr10:uidLastSave="{00000000-0000-0000-0000-000000000000}"/>
  <bookViews>
    <workbookView xWindow="-108" yWindow="-108" windowWidth="23256" windowHeight="12456" activeTab="3" xr2:uid="{5B078718-D36D-402F-B5C0-010712FE8335}"/>
  </bookViews>
  <sheets>
    <sheet name="Journal" sheetId="1" r:id="rId1"/>
    <sheet name="Ledger(Expenses)" sheetId="2" r:id="rId2"/>
    <sheet name="Ledger (Income)" sheetId="3" r:id="rId3"/>
    <sheet name="B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B5" i="4"/>
  <c r="B7" i="4" s="1"/>
  <c r="E7" i="2"/>
  <c r="C6" i="4" l="1"/>
  <c r="C7" i="4" s="1"/>
  <c r="E7" i="1" l="1"/>
  <c r="E8" i="1" s="1"/>
  <c r="D7" i="1"/>
  <c r="D9" i="1" s="1"/>
  <c r="E9" i="1" l="1"/>
</calcChain>
</file>

<file path=xl/sharedStrings.xml><?xml version="1.0" encoding="utf-8"?>
<sst xmlns="http://schemas.openxmlformats.org/spreadsheetml/2006/main" count="31" uniqueCount="22">
  <si>
    <t>Daily Transactions for the month of June 2026</t>
  </si>
  <si>
    <t>Date</t>
  </si>
  <si>
    <t xml:space="preserve">Particulars </t>
  </si>
  <si>
    <t>Amount</t>
  </si>
  <si>
    <t>Amount(Rs)</t>
  </si>
  <si>
    <t>Edibles &amp; Crockery Items</t>
  </si>
  <si>
    <t>Closing Balance</t>
  </si>
  <si>
    <t>Grand Total</t>
  </si>
  <si>
    <t>Closing Balance as on 30/06/2026</t>
  </si>
  <si>
    <t xml:space="preserve"> Total</t>
  </si>
  <si>
    <t xml:space="preserve">Date </t>
  </si>
  <si>
    <t>Particulars</t>
  </si>
  <si>
    <t>Edible &amp; Crockery items</t>
  </si>
  <si>
    <t>Food &amp; Refreshment Expenses</t>
  </si>
  <si>
    <t>Balance Sheet of the June 2026</t>
  </si>
  <si>
    <t>Dr(rs)</t>
  </si>
  <si>
    <t>Cr(rs)</t>
  </si>
  <si>
    <t>Total</t>
  </si>
  <si>
    <t>GRAND TOTAL</t>
  </si>
  <si>
    <t>Loans &amp; Advances(Opening Balance)</t>
  </si>
  <si>
    <t>Loan from Fr.Jolly Karimpil(Opening Balance)</t>
  </si>
  <si>
    <t>Loans &amp; Advances (Opening 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</si>
</sst>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14" fontId="4" fillId="0" borderId="5" xfId="0" applyNumberFormat="1" applyFont="1" applyBorder="1"/>
    <xf numFmtId="43" fontId="4" fillId="0" borderId="6" xfId="1" applyFont="1" applyBorder="1"/>
    <xf numFmtId="0" fontId="4" fillId="0" borderId="5" xfId="0" applyFont="1" applyBorder="1"/>
    <xf numFmtId="0" fontId="4" fillId="0" borderId="7" xfId="0" applyFont="1" applyBorder="1"/>
    <xf numFmtId="43" fontId="4" fillId="0" borderId="9" xfId="1" applyFont="1" applyBorder="1"/>
    <xf numFmtId="43" fontId="5" fillId="0" borderId="1" xfId="1" applyFont="1" applyBorder="1"/>
    <xf numFmtId="43" fontId="5" fillId="0" borderId="6" xfId="1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6" xfId="0" applyFont="1" applyBorder="1"/>
    <xf numFmtId="43" fontId="5" fillId="0" borderId="8" xfId="0" applyNumberFormat="1" applyFont="1" applyBorder="1"/>
    <xf numFmtId="43" fontId="5" fillId="0" borderId="9" xfId="0" applyNumberFormat="1" applyFont="1" applyBorder="1"/>
    <xf numFmtId="0" fontId="6" fillId="0" borderId="1" xfId="0" applyFont="1" applyBorder="1"/>
    <xf numFmtId="14" fontId="6" fillId="0" borderId="5" xfId="0" applyNumberFormat="1" applyFont="1" applyBorder="1"/>
    <xf numFmtId="0" fontId="6" fillId="0" borderId="7" xfId="0" applyFont="1" applyBorder="1"/>
    <xf numFmtId="43" fontId="6" fillId="0" borderId="6" xfId="1" applyFont="1" applyBorder="1"/>
    <xf numFmtId="43" fontId="6" fillId="0" borderId="9" xfId="1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Border="1"/>
    <xf numFmtId="43" fontId="6" fillId="0" borderId="1" xfId="1" applyFont="1" applyBorder="1"/>
    <xf numFmtId="0" fontId="7" fillId="2" borderId="5" xfId="0" applyFont="1" applyFill="1" applyBorder="1"/>
    <xf numFmtId="43" fontId="7" fillId="0" borderId="6" xfId="1" applyFont="1" applyBorder="1"/>
    <xf numFmtId="0" fontId="8" fillId="2" borderId="5" xfId="0" applyFont="1" applyFill="1" applyBorder="1"/>
    <xf numFmtId="0" fontId="6" fillId="0" borderId="5" xfId="0" applyFont="1" applyBorder="1" applyAlignment="1">
      <alignment horizontal="left" vertical="top"/>
    </xf>
    <xf numFmtId="43" fontId="7" fillId="0" borderId="6" xfId="1" applyFont="1" applyBorder="1" applyAlignment="1">
      <alignment horizontal="center"/>
    </xf>
    <xf numFmtId="0" fontId="7" fillId="2" borderId="7" xfId="0" applyFont="1" applyFill="1" applyBorder="1"/>
    <xf numFmtId="43" fontId="7" fillId="0" borderId="8" xfId="1" applyFont="1" applyBorder="1"/>
    <xf numFmtId="43" fontId="7" fillId="0" borderId="9" xfId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7B79-1631-4582-ADEA-BE1377909042}">
  <dimension ref="B2:F9"/>
  <sheetViews>
    <sheetView workbookViewId="0">
      <selection activeCell="C12" sqref="C12"/>
    </sheetView>
  </sheetViews>
  <sheetFormatPr defaultRowHeight="14.4" x14ac:dyDescent="0.3"/>
  <cols>
    <col min="2" max="2" width="9.44140625" bestFit="1" customWidth="1"/>
    <col min="3" max="3" width="43.44140625" customWidth="1"/>
    <col min="4" max="4" width="15.77734375" customWidth="1"/>
    <col min="5" max="5" width="16" bestFit="1" customWidth="1"/>
    <col min="6" max="6" width="33.6640625" customWidth="1"/>
  </cols>
  <sheetData>
    <row r="2" spans="2:6" ht="15" thickBot="1" x14ac:dyDescent="0.35"/>
    <row r="3" spans="2:6" ht="23.4" x14ac:dyDescent="0.45">
      <c r="B3" s="37" t="s">
        <v>0</v>
      </c>
      <c r="C3" s="38"/>
      <c r="D3" s="38"/>
      <c r="E3" s="39"/>
      <c r="F3" s="1"/>
    </row>
    <row r="4" spans="2:6" ht="15.6" x14ac:dyDescent="0.3">
      <c r="B4" s="13" t="s">
        <v>1</v>
      </c>
      <c r="C4" s="11" t="s">
        <v>2</v>
      </c>
      <c r="D4" s="11" t="s">
        <v>4</v>
      </c>
      <c r="E4" s="14" t="s">
        <v>4</v>
      </c>
    </row>
    <row r="5" spans="2:6" ht="15.6" x14ac:dyDescent="0.3">
      <c r="B5" s="4">
        <v>46028</v>
      </c>
      <c r="C5" s="2" t="s">
        <v>20</v>
      </c>
      <c r="D5" s="3">
        <v>5000</v>
      </c>
      <c r="E5" s="5">
        <v>0</v>
      </c>
    </row>
    <row r="6" spans="2:6" ht="15.6" x14ac:dyDescent="0.3">
      <c r="B6" s="4">
        <v>46271</v>
      </c>
      <c r="C6" s="2" t="s">
        <v>5</v>
      </c>
      <c r="D6" s="3">
        <v>0</v>
      </c>
      <c r="E6" s="5">
        <v>2772.02</v>
      </c>
    </row>
    <row r="7" spans="2:6" ht="15.6" x14ac:dyDescent="0.3">
      <c r="B7" s="6"/>
      <c r="C7" s="11" t="s">
        <v>9</v>
      </c>
      <c r="D7" s="9">
        <f>SUM(D5:D6)</f>
        <v>5000</v>
      </c>
      <c r="E7" s="10">
        <f>SUM(E5:E6)</f>
        <v>2772.02</v>
      </c>
    </row>
    <row r="8" spans="2:6" ht="15.6" x14ac:dyDescent="0.3">
      <c r="B8" s="6"/>
      <c r="C8" s="11" t="s">
        <v>8</v>
      </c>
      <c r="D8" s="3">
        <v>0</v>
      </c>
      <c r="E8" s="10">
        <f>D7-E7</f>
        <v>2227.98</v>
      </c>
    </row>
    <row r="9" spans="2:6" ht="16.2" thickBot="1" x14ac:dyDescent="0.35">
      <c r="B9" s="7"/>
      <c r="C9" s="12" t="s">
        <v>7</v>
      </c>
      <c r="D9" s="15">
        <f>D7+D8</f>
        <v>5000</v>
      </c>
      <c r="E9" s="16">
        <f>E7+E8</f>
        <v>5000</v>
      </c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4F29-343D-4523-8F95-2A9F1D0960D4}">
  <dimension ref="C3:E7"/>
  <sheetViews>
    <sheetView workbookViewId="0">
      <selection activeCell="C4" sqref="C4:E4"/>
    </sheetView>
  </sheetViews>
  <sheetFormatPr defaultRowHeight="14.4" x14ac:dyDescent="0.3"/>
  <cols>
    <col min="3" max="3" width="11" bestFit="1" customWidth="1"/>
    <col min="4" max="4" width="25.77734375" bestFit="1" customWidth="1"/>
    <col min="5" max="5" width="11.88671875" bestFit="1" customWidth="1"/>
  </cols>
  <sheetData>
    <row r="3" spans="3:5" ht="15" thickBot="1" x14ac:dyDescent="0.35"/>
    <row r="4" spans="3:5" ht="18" x14ac:dyDescent="0.35">
      <c r="C4" s="40" t="s">
        <v>13</v>
      </c>
      <c r="D4" s="41"/>
      <c r="E4" s="42"/>
    </row>
    <row r="5" spans="3:5" ht="18" x14ac:dyDescent="0.35">
      <c r="C5" s="22" t="s">
        <v>10</v>
      </c>
      <c r="D5" s="23" t="s">
        <v>11</v>
      </c>
      <c r="E5" s="24" t="s">
        <v>3</v>
      </c>
    </row>
    <row r="6" spans="3:5" ht="18" x14ac:dyDescent="0.35">
      <c r="C6" s="18">
        <v>46271</v>
      </c>
      <c r="D6" s="17" t="s">
        <v>12</v>
      </c>
      <c r="E6" s="20">
        <v>2772.02</v>
      </c>
    </row>
    <row r="7" spans="3:5" ht="18.600000000000001" thickBot="1" x14ac:dyDescent="0.4">
      <c r="C7" s="19"/>
      <c r="D7" s="25" t="s">
        <v>7</v>
      </c>
      <c r="E7" s="21">
        <f>E6</f>
        <v>2772.02</v>
      </c>
    </row>
  </sheetData>
  <mergeCells count="1"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CFD7-DD28-47C5-AA65-2A777B91DF93}">
  <dimension ref="D4:F8"/>
  <sheetViews>
    <sheetView workbookViewId="0">
      <selection activeCell="E7" sqref="E7"/>
    </sheetView>
  </sheetViews>
  <sheetFormatPr defaultRowHeight="14.4" x14ac:dyDescent="0.3"/>
  <cols>
    <col min="4" max="4" width="9.44140625" bestFit="1" customWidth="1"/>
    <col min="5" max="5" width="43.33203125" bestFit="1" customWidth="1"/>
    <col min="6" max="6" width="10.109375" bestFit="1" customWidth="1"/>
  </cols>
  <sheetData>
    <row r="4" spans="4:6" ht="15" thickBot="1" x14ac:dyDescent="0.35"/>
    <row r="5" spans="4:6" ht="15.6" x14ac:dyDescent="0.3">
      <c r="D5" s="43" t="s">
        <v>19</v>
      </c>
      <c r="E5" s="44"/>
      <c r="F5" s="45"/>
    </row>
    <row r="6" spans="4:6" ht="15.6" x14ac:dyDescent="0.3">
      <c r="D6" s="13" t="s">
        <v>1</v>
      </c>
      <c r="E6" s="11" t="s">
        <v>11</v>
      </c>
      <c r="F6" s="14" t="s">
        <v>3</v>
      </c>
    </row>
    <row r="7" spans="4:6" ht="15.6" x14ac:dyDescent="0.3">
      <c r="D7" s="4">
        <v>46028</v>
      </c>
      <c r="E7" s="2" t="s">
        <v>20</v>
      </c>
      <c r="F7" s="5">
        <v>5000</v>
      </c>
    </row>
    <row r="8" spans="4:6" ht="16.2" thickBot="1" x14ac:dyDescent="0.35">
      <c r="D8" s="7"/>
      <c r="E8" s="12" t="s">
        <v>7</v>
      </c>
      <c r="F8" s="8">
        <v>5000</v>
      </c>
    </row>
  </sheetData>
  <mergeCells count="1">
    <mergeCell ref="D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BFA-4069-4F61-B8B4-1B31AEEA06D0}">
  <dimension ref="A1:C7"/>
  <sheetViews>
    <sheetView tabSelected="1" workbookViewId="0">
      <selection sqref="A1:C1"/>
    </sheetView>
  </sheetViews>
  <sheetFormatPr defaultRowHeight="14.4" x14ac:dyDescent="0.3"/>
  <cols>
    <col min="1" max="1" width="40.77734375" bestFit="1" customWidth="1"/>
    <col min="2" max="3" width="13.109375" bestFit="1" customWidth="1"/>
  </cols>
  <sheetData>
    <row r="1" spans="1:3" ht="18" x14ac:dyDescent="0.35">
      <c r="A1" s="40" t="s">
        <v>14</v>
      </c>
      <c r="B1" s="41"/>
      <c r="C1" s="42"/>
    </row>
    <row r="2" spans="1:3" ht="18" x14ac:dyDescent="0.35">
      <c r="A2" s="29" t="s">
        <v>11</v>
      </c>
      <c r="B2" s="27" t="s">
        <v>15</v>
      </c>
      <c r="C2" s="30" t="s">
        <v>16</v>
      </c>
    </row>
    <row r="3" spans="1:3" ht="18" x14ac:dyDescent="0.35">
      <c r="A3" s="31" t="s">
        <v>21</v>
      </c>
      <c r="B3" s="27">
        <v>5000</v>
      </c>
      <c r="C3" s="20"/>
    </row>
    <row r="4" spans="1:3" ht="18" x14ac:dyDescent="0.35">
      <c r="A4" s="32" t="s">
        <v>13</v>
      </c>
      <c r="B4" s="26"/>
      <c r="C4" s="33">
        <v>2772.02</v>
      </c>
    </row>
    <row r="5" spans="1:3" ht="18" x14ac:dyDescent="0.35">
      <c r="A5" s="29" t="s">
        <v>17</v>
      </c>
      <c r="B5" s="27">
        <f>SUM(B3:B4)</f>
        <v>5000</v>
      </c>
      <c r="C5" s="30">
        <f>SUM(C3:C4)</f>
        <v>2772.02</v>
      </c>
    </row>
    <row r="6" spans="1:3" ht="18" x14ac:dyDescent="0.35">
      <c r="A6" s="29" t="s">
        <v>6</v>
      </c>
      <c r="B6" s="28"/>
      <c r="C6" s="30">
        <f>B5-C5</f>
        <v>2227.98</v>
      </c>
    </row>
    <row r="7" spans="1:3" ht="18.600000000000001" thickBot="1" x14ac:dyDescent="0.4">
      <c r="A7" s="34" t="s">
        <v>18</v>
      </c>
      <c r="B7" s="35">
        <f>SUM(B5:B6)</f>
        <v>5000</v>
      </c>
      <c r="C7" s="36">
        <f>SUM(C5:C6)</f>
        <v>5000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</vt:lpstr>
      <vt:lpstr>Ledger(Expenses)</vt:lpstr>
      <vt:lpstr>Ledger (Income)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vphilip</dc:creator>
  <cp:lastModifiedBy>cris vphilip</cp:lastModifiedBy>
  <dcterms:created xsi:type="dcterms:W3CDTF">2026-09-20T04:07:39Z</dcterms:created>
  <dcterms:modified xsi:type="dcterms:W3CDTF">2026-09-20T08:49:11Z</dcterms:modified>
</cp:coreProperties>
</file>