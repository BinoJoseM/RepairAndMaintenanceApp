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NTERCHIP\Downloads\Malankara Institute of Theology\"/>
    </mc:Choice>
  </mc:AlternateContent>
  <xr:revisionPtr revIDLastSave="0" documentId="13_ncr:1_{0D715CF8-313B-43AD-8C9E-3260C547E733}" xr6:coauthVersionLast="47" xr6:coauthVersionMax="47" xr10:uidLastSave="{00000000-0000-0000-0000-000000000000}"/>
  <bookViews>
    <workbookView xWindow="-108" yWindow="-108" windowWidth="23256" windowHeight="12456" activeTab="1" xr2:uid="{5B078718-D36D-402F-B5C0-010712FE8335}"/>
  </bookViews>
  <sheets>
    <sheet name="Journal" sheetId="1" r:id="rId1"/>
    <sheet name="Ledger(Expenses)" sheetId="2" r:id="rId2"/>
    <sheet name="Ledger (Income)" sheetId="3" r:id="rId3"/>
    <sheet name="BS" sheetId="4" r:id="rId4"/>
    <sheet name="Bank Reconciliation Statement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1" i="4" l="1"/>
  <c r="I7" i="2"/>
  <c r="H25" i="5"/>
  <c r="H24" i="5"/>
  <c r="G24" i="5"/>
  <c r="E19" i="2"/>
  <c r="I20" i="2"/>
  <c r="E14" i="1"/>
  <c r="I13" i="2"/>
  <c r="F13" i="3"/>
  <c r="F8" i="3"/>
  <c r="D14" i="1"/>
  <c r="E13" i="2"/>
  <c r="E15" i="1" l="1"/>
  <c r="E16" i="1"/>
  <c r="B11" i="4"/>
  <c r="B13" i="4" s="1"/>
  <c r="E7" i="2"/>
  <c r="C12" i="4" l="1"/>
  <c r="C13" i="4" s="1"/>
  <c r="D16" i="1" l="1"/>
</calcChain>
</file>

<file path=xl/sharedStrings.xml><?xml version="1.0" encoding="utf-8"?>
<sst xmlns="http://schemas.openxmlformats.org/spreadsheetml/2006/main" count="110" uniqueCount="56">
  <si>
    <t>Date</t>
  </si>
  <si>
    <t xml:space="preserve">Particulars </t>
  </si>
  <si>
    <t>Amount</t>
  </si>
  <si>
    <t>Amount(Rs)</t>
  </si>
  <si>
    <t>Closing Balance</t>
  </si>
  <si>
    <t>Grand Total</t>
  </si>
  <si>
    <t xml:space="preserve"> Total</t>
  </si>
  <si>
    <t xml:space="preserve">Date </t>
  </si>
  <si>
    <t>Particulars</t>
  </si>
  <si>
    <t>Food &amp; Refreshment Expenses</t>
  </si>
  <si>
    <t>Dr(rs)</t>
  </si>
  <si>
    <t>Cr(rs)</t>
  </si>
  <si>
    <t>Total</t>
  </si>
  <si>
    <t>GRAND TOTAL</t>
  </si>
  <si>
    <t>Opening Balance</t>
  </si>
  <si>
    <t>Stationary Items</t>
  </si>
  <si>
    <t>Donations</t>
  </si>
  <si>
    <t>Daily Transactions for the month of September 2026</t>
  </si>
  <si>
    <t>Fruits,Cashew,Tender Coconut</t>
  </si>
  <si>
    <t>Pen Stand,Basket etc..</t>
  </si>
  <si>
    <t>Plastic Hook Card,Calculator,Sticky Pad etc...</t>
  </si>
  <si>
    <t>Pipe,Holder,Curtain</t>
  </si>
  <si>
    <t>Cash Donation:-Fr.George Thanimoottil</t>
  </si>
  <si>
    <t>Exam Remuneration fees paid to Sr.Sophia Paul</t>
  </si>
  <si>
    <t>Closing Balance as on 18/09/2026</t>
  </si>
  <si>
    <t>Donation</t>
  </si>
  <si>
    <t>Exam Remuneration fees paid to Sr.ardra S.I.C</t>
  </si>
  <si>
    <t>Exam Remuneration Fees</t>
  </si>
  <si>
    <t>Office Expenses</t>
  </si>
  <si>
    <t>Balance Sheet of the September 2026</t>
  </si>
  <si>
    <t>Dr(Rs)</t>
  </si>
  <si>
    <t>Cr(Rs)</t>
  </si>
  <si>
    <t>Donation given to Bank (Jiny varghese)</t>
  </si>
  <si>
    <t>Donation given to Bank( Rana V)</t>
  </si>
  <si>
    <t>Donation given to Bank( Nithi)</t>
  </si>
  <si>
    <t>Donation given to Bank( Apraim)</t>
  </si>
  <si>
    <t>Donation given to Bank(Fr.Gigi Philip)</t>
  </si>
  <si>
    <t>Donation given to Bank(T.M.Varghese)</t>
  </si>
  <si>
    <t>Remuneration fees paid to Visiting Professors</t>
  </si>
  <si>
    <t>Donation given to Bank(Mathew Luka)</t>
  </si>
  <si>
    <t>Donation given to Bank(Sunny Samuel)</t>
  </si>
  <si>
    <t>Donation given to bank (Jijo Joseph)</t>
  </si>
  <si>
    <t>Donation given to bank (Dr.Mittu)</t>
  </si>
  <si>
    <t>Donation given to bank (Mrs.Suja)</t>
  </si>
  <si>
    <t>14/9/2026</t>
  </si>
  <si>
    <t>Donation given to bank(William Kanjirathinkal)</t>
  </si>
  <si>
    <t>16/9/2026</t>
  </si>
  <si>
    <t>Donation given to Bank(Reji George)</t>
  </si>
  <si>
    <t>Donation given to Bank (Alina Maria John)</t>
  </si>
  <si>
    <t>Donation given to bank (Jose P)</t>
  </si>
  <si>
    <t>18/9/2026</t>
  </si>
  <si>
    <t>Donation given to bank (Ajayan Thomas)</t>
  </si>
  <si>
    <t>Bank Reconciliation Statement as on 18/09/2026</t>
  </si>
  <si>
    <t>Leg M.C.B,Insulator</t>
  </si>
  <si>
    <t>Electrical &amp; Plumbing items</t>
  </si>
  <si>
    <t>Other Expenses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</si>
</sst>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2">
    <xf numFmtId="0" fontId="0" fillId="0" borderId="0" xfId="0"/>
    <xf numFmtId="0" fontId="2" fillId="0" borderId="0" xfId="0" applyFont="1" applyAlignment="1">
      <alignment horizontal="center"/>
    </xf>
    <xf numFmtId="0" fontId="4" fillId="0" borderId="1" xfId="0" applyFont="1" applyBorder="1"/>
    <xf numFmtId="43" fontId="4" fillId="0" borderId="1" xfId="1" applyFont="1" applyBorder="1"/>
    <xf numFmtId="14" fontId="4" fillId="0" borderId="5" xfId="0" applyNumberFormat="1" applyFont="1" applyBorder="1"/>
    <xf numFmtId="43" fontId="4" fillId="0" borderId="6" xfId="1" applyFont="1" applyBorder="1"/>
    <xf numFmtId="0" fontId="4" fillId="0" borderId="5" xfId="0" applyFont="1" applyBorder="1"/>
    <xf numFmtId="0" fontId="4" fillId="0" borderId="7" xfId="0" applyFont="1" applyBorder="1"/>
    <xf numFmtId="43" fontId="5" fillId="0" borderId="1" xfId="1" applyFont="1" applyBorder="1"/>
    <xf numFmtId="43" fontId="5" fillId="0" borderId="6" xfId="1" applyFont="1" applyBorder="1"/>
    <xf numFmtId="0" fontId="5" fillId="0" borderId="1" xfId="0" applyFont="1" applyBorder="1"/>
    <xf numFmtId="0" fontId="5" fillId="0" borderId="8" xfId="0" applyFont="1" applyBorder="1"/>
    <xf numFmtId="0" fontId="5" fillId="0" borderId="5" xfId="0" applyFont="1" applyBorder="1"/>
    <xf numFmtId="0" fontId="5" fillId="0" borderId="6" xfId="0" applyFont="1" applyBorder="1"/>
    <xf numFmtId="43" fontId="5" fillId="0" borderId="8" xfId="0" applyNumberFormat="1" applyFont="1" applyBorder="1"/>
    <xf numFmtId="14" fontId="6" fillId="0" borderId="5" xfId="0" applyNumberFormat="1" applyFont="1" applyBorder="1"/>
    <xf numFmtId="0" fontId="6" fillId="0" borderId="7" xfId="0" applyFont="1" applyBorder="1"/>
    <xf numFmtId="43" fontId="6" fillId="0" borderId="6" xfId="1" applyFont="1" applyBorder="1"/>
    <xf numFmtId="0" fontId="7" fillId="0" borderId="5" xfId="0" applyFont="1" applyBorder="1"/>
    <xf numFmtId="0" fontId="7" fillId="0" borderId="1" xfId="0" applyFont="1" applyBorder="1"/>
    <xf numFmtId="0" fontId="7" fillId="0" borderId="6" xfId="0" applyFont="1" applyBorder="1"/>
    <xf numFmtId="0" fontId="7" fillId="0" borderId="8" xfId="0" applyFont="1" applyBorder="1"/>
    <xf numFmtId="0" fontId="7" fillId="0" borderId="1" xfId="0" applyFont="1" applyBorder="1" applyAlignment="1">
      <alignment horizontal="center"/>
    </xf>
    <xf numFmtId="43" fontId="7" fillId="0" borderId="1" xfId="1" applyFont="1" applyBorder="1"/>
    <xf numFmtId="43" fontId="6" fillId="0" borderId="1" xfId="1" applyFont="1" applyBorder="1"/>
    <xf numFmtId="0" fontId="7" fillId="2" borderId="5" xfId="0" applyFont="1" applyFill="1" applyBorder="1"/>
    <xf numFmtId="43" fontId="7" fillId="0" borderId="6" xfId="1" applyFont="1" applyBorder="1"/>
    <xf numFmtId="0" fontId="8" fillId="2" borderId="5" xfId="0" applyFont="1" applyFill="1" applyBorder="1"/>
    <xf numFmtId="0" fontId="6" fillId="0" borderId="5" xfId="0" applyFont="1" applyBorder="1" applyAlignment="1">
      <alignment horizontal="left" vertical="top"/>
    </xf>
    <xf numFmtId="43" fontId="7" fillId="0" borderId="6" xfId="1" applyFont="1" applyBorder="1" applyAlignment="1">
      <alignment horizontal="center"/>
    </xf>
    <xf numFmtId="0" fontId="7" fillId="2" borderId="7" xfId="0" applyFont="1" applyFill="1" applyBorder="1"/>
    <xf numFmtId="43" fontId="7" fillId="0" borderId="8" xfId="1" applyFont="1" applyBorder="1"/>
    <xf numFmtId="43" fontId="7" fillId="0" borderId="9" xfId="1" applyFont="1" applyBorder="1"/>
    <xf numFmtId="43" fontId="5" fillId="0" borderId="9" xfId="1" applyFont="1" applyBorder="1"/>
    <xf numFmtId="0" fontId="6" fillId="0" borderId="0" xfId="0" applyFont="1" applyBorder="1"/>
    <xf numFmtId="0" fontId="7" fillId="0" borderId="0" xfId="0" applyFont="1" applyBorder="1"/>
    <xf numFmtId="43" fontId="7" fillId="0" borderId="0" xfId="1" applyFont="1" applyBorder="1"/>
    <xf numFmtId="0" fontId="0" fillId="0" borderId="7" xfId="0" applyBorder="1"/>
    <xf numFmtId="0" fontId="0" fillId="0" borderId="8" xfId="0" applyBorder="1"/>
    <xf numFmtId="14" fontId="4" fillId="0" borderId="5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5" fillId="0" borderId="8" xfId="0" applyFont="1" applyFill="1" applyBorder="1"/>
    <xf numFmtId="43" fontId="5" fillId="0" borderId="9" xfId="0" applyNumberFormat="1" applyFont="1" applyBorder="1"/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37B79-1631-4582-ADEA-BE1377909042}">
  <dimension ref="B2:F16"/>
  <sheetViews>
    <sheetView workbookViewId="0">
      <selection activeCell="C21" sqref="C21"/>
    </sheetView>
  </sheetViews>
  <sheetFormatPr defaultRowHeight="14.4" x14ac:dyDescent="0.3"/>
  <cols>
    <col min="2" max="2" width="10.5546875" bestFit="1" customWidth="1"/>
    <col min="3" max="3" width="46.21875" bestFit="1" customWidth="1"/>
    <col min="4" max="4" width="15.77734375" customWidth="1"/>
    <col min="5" max="5" width="16" bestFit="1" customWidth="1"/>
    <col min="6" max="6" width="33.6640625" customWidth="1"/>
  </cols>
  <sheetData>
    <row r="2" spans="2:6" ht="15" thickBot="1" x14ac:dyDescent="0.35"/>
    <row r="3" spans="2:6" ht="23.4" x14ac:dyDescent="0.45">
      <c r="B3" s="43" t="s">
        <v>17</v>
      </c>
      <c r="C3" s="44"/>
      <c r="D3" s="44"/>
      <c r="E3" s="45"/>
      <c r="F3" s="1"/>
    </row>
    <row r="4" spans="2:6" ht="15.6" x14ac:dyDescent="0.3">
      <c r="B4" s="12" t="s">
        <v>0</v>
      </c>
      <c r="C4" s="10" t="s">
        <v>1</v>
      </c>
      <c r="D4" s="10" t="s">
        <v>3</v>
      </c>
      <c r="E4" s="13" t="s">
        <v>3</v>
      </c>
    </row>
    <row r="5" spans="2:6" ht="15.6" x14ac:dyDescent="0.3">
      <c r="B5" s="4">
        <v>46031</v>
      </c>
      <c r="C5" s="10" t="s">
        <v>14</v>
      </c>
      <c r="D5" s="3">
        <v>281.98</v>
      </c>
      <c r="E5" s="5">
        <v>0</v>
      </c>
    </row>
    <row r="6" spans="2:6" ht="15.6" x14ac:dyDescent="0.3">
      <c r="B6" s="4"/>
      <c r="C6" s="2" t="s">
        <v>22</v>
      </c>
      <c r="D6" s="3">
        <v>10000</v>
      </c>
      <c r="E6" s="5"/>
    </row>
    <row r="7" spans="2:6" ht="15.6" x14ac:dyDescent="0.3">
      <c r="C7" s="2" t="s">
        <v>18</v>
      </c>
      <c r="D7" s="3">
        <v>0</v>
      </c>
      <c r="E7" s="5">
        <v>807</v>
      </c>
    </row>
    <row r="8" spans="2:6" ht="15.6" x14ac:dyDescent="0.3">
      <c r="B8" s="4">
        <v>46121</v>
      </c>
      <c r="C8" s="2" t="s">
        <v>19</v>
      </c>
      <c r="D8" s="3"/>
      <c r="E8" s="5">
        <v>1078</v>
      </c>
    </row>
    <row r="9" spans="2:6" ht="15.6" x14ac:dyDescent="0.3">
      <c r="B9" s="4"/>
      <c r="C9" s="2" t="s">
        <v>20</v>
      </c>
      <c r="D9" s="3"/>
      <c r="E9" s="5">
        <v>1971</v>
      </c>
    </row>
    <row r="10" spans="2:6" ht="15.6" x14ac:dyDescent="0.3">
      <c r="B10" s="4">
        <v>46212</v>
      </c>
      <c r="C10" s="2" t="s">
        <v>53</v>
      </c>
      <c r="D10" s="3"/>
      <c r="E10" s="5">
        <v>1410</v>
      </c>
    </row>
    <row r="11" spans="2:6" ht="15.6" x14ac:dyDescent="0.3">
      <c r="B11" s="4">
        <v>46274</v>
      </c>
      <c r="C11" s="2" t="s">
        <v>21</v>
      </c>
      <c r="D11" s="3"/>
      <c r="E11" s="5">
        <v>1345</v>
      </c>
    </row>
    <row r="12" spans="2:6" ht="15.6" x14ac:dyDescent="0.3">
      <c r="B12" s="4">
        <v>46304</v>
      </c>
      <c r="C12" s="2" t="s">
        <v>26</v>
      </c>
      <c r="D12" s="3"/>
      <c r="E12" s="5">
        <v>2000</v>
      </c>
    </row>
    <row r="13" spans="2:6" ht="15.6" x14ac:dyDescent="0.3">
      <c r="B13" s="4"/>
      <c r="C13" s="2" t="s">
        <v>23</v>
      </c>
      <c r="D13" s="3"/>
      <c r="E13" s="5">
        <v>1000</v>
      </c>
    </row>
    <row r="14" spans="2:6" ht="15.6" x14ac:dyDescent="0.3">
      <c r="B14" s="6"/>
      <c r="C14" s="10" t="s">
        <v>6</v>
      </c>
      <c r="D14" s="8">
        <f>SUM(D5:D13)</f>
        <v>10281.98</v>
      </c>
      <c r="E14" s="8">
        <f>SUM(E5:E13)</f>
        <v>9611</v>
      </c>
    </row>
    <row r="15" spans="2:6" ht="15.6" x14ac:dyDescent="0.3">
      <c r="B15" s="6"/>
      <c r="C15" s="10" t="s">
        <v>24</v>
      </c>
      <c r="D15" s="3">
        <v>0</v>
      </c>
      <c r="E15" s="9">
        <f>D14-E14</f>
        <v>670.97999999999956</v>
      </c>
    </row>
    <row r="16" spans="2:6" ht="16.2" thickBot="1" x14ac:dyDescent="0.35">
      <c r="B16" s="7"/>
      <c r="C16" s="11" t="s">
        <v>5</v>
      </c>
      <c r="D16" s="14">
        <f>D14+D15</f>
        <v>10281.98</v>
      </c>
      <c r="E16" s="14">
        <f>E14+E15</f>
        <v>10281.98</v>
      </c>
    </row>
  </sheetData>
  <mergeCells count="1">
    <mergeCell ref="B3:E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A4F29-343D-4523-8F95-2A9F1D0960D4}">
  <dimension ref="C3:I20"/>
  <sheetViews>
    <sheetView tabSelected="1" topLeftCell="A3" workbookViewId="0">
      <selection activeCell="G11" sqref="G11"/>
    </sheetView>
  </sheetViews>
  <sheetFormatPr defaultRowHeight="14.4" x14ac:dyDescent="0.3"/>
  <cols>
    <col min="3" max="3" width="12.33203125" bestFit="1" customWidth="1"/>
    <col min="4" max="4" width="33.109375" bestFit="1" customWidth="1"/>
    <col min="5" max="5" width="13.33203125" bestFit="1" customWidth="1"/>
    <col min="7" max="7" width="12.5546875" bestFit="1" customWidth="1"/>
    <col min="8" max="8" width="46.21875" bestFit="1" customWidth="1"/>
    <col min="9" max="9" width="11.88671875" bestFit="1" customWidth="1"/>
  </cols>
  <sheetData>
    <row r="3" spans="3:9" ht="15" thickBot="1" x14ac:dyDescent="0.35"/>
    <row r="4" spans="3:9" ht="18" x14ac:dyDescent="0.35">
      <c r="C4" s="46" t="s">
        <v>9</v>
      </c>
      <c r="D4" s="47"/>
      <c r="E4" s="48"/>
      <c r="G4" s="46" t="s">
        <v>54</v>
      </c>
      <c r="H4" s="47"/>
      <c r="I4" s="48"/>
    </row>
    <row r="5" spans="3:9" ht="18" x14ac:dyDescent="0.35">
      <c r="C5" s="18" t="s">
        <v>7</v>
      </c>
      <c r="D5" s="19" t="s">
        <v>8</v>
      </c>
      <c r="E5" s="20" t="s">
        <v>2</v>
      </c>
      <c r="G5" s="18" t="s">
        <v>7</v>
      </c>
      <c r="H5" s="19" t="s">
        <v>8</v>
      </c>
      <c r="I5" s="20" t="s">
        <v>2</v>
      </c>
    </row>
    <row r="6" spans="3:9" ht="18" x14ac:dyDescent="0.35">
      <c r="C6" s="15">
        <v>46031</v>
      </c>
      <c r="D6" s="2" t="s">
        <v>18</v>
      </c>
      <c r="E6" s="17">
        <v>807</v>
      </c>
      <c r="G6" s="15">
        <v>46212</v>
      </c>
      <c r="H6" s="2" t="s">
        <v>53</v>
      </c>
      <c r="I6" s="17">
        <v>1410</v>
      </c>
    </row>
    <row r="7" spans="3:9" ht="18.600000000000001" thickBot="1" x14ac:dyDescent="0.4">
      <c r="C7" s="16"/>
      <c r="D7" s="21" t="s">
        <v>5</v>
      </c>
      <c r="E7" s="32">
        <f>E6</f>
        <v>807</v>
      </c>
      <c r="G7" s="16"/>
      <c r="H7" s="21" t="s">
        <v>5</v>
      </c>
      <c r="I7" s="32">
        <f>I6</f>
        <v>1410</v>
      </c>
    </row>
    <row r="9" spans="3:9" ht="15" thickBot="1" x14ac:dyDescent="0.35"/>
    <row r="10" spans="3:9" ht="18" x14ac:dyDescent="0.35">
      <c r="C10" s="46" t="s">
        <v>15</v>
      </c>
      <c r="D10" s="47"/>
      <c r="E10" s="48"/>
      <c r="G10" s="46" t="s">
        <v>55</v>
      </c>
      <c r="H10" s="47"/>
      <c r="I10" s="48"/>
    </row>
    <row r="11" spans="3:9" ht="18" x14ac:dyDescent="0.35">
      <c r="C11" s="18" t="s">
        <v>7</v>
      </c>
      <c r="D11" s="19" t="s">
        <v>8</v>
      </c>
      <c r="E11" s="20" t="s">
        <v>2</v>
      </c>
      <c r="G11" s="18" t="s">
        <v>7</v>
      </c>
      <c r="H11" s="19" t="s">
        <v>8</v>
      </c>
      <c r="I11" s="20" t="s">
        <v>2</v>
      </c>
    </row>
    <row r="12" spans="3:9" ht="18" x14ac:dyDescent="0.35">
      <c r="C12" s="15">
        <v>46121</v>
      </c>
      <c r="D12" s="2" t="s">
        <v>19</v>
      </c>
      <c r="E12" s="17">
        <v>1078</v>
      </c>
      <c r="G12" s="15">
        <v>46274</v>
      </c>
      <c r="H12" s="2" t="s">
        <v>21</v>
      </c>
      <c r="I12" s="17">
        <v>1345</v>
      </c>
    </row>
    <row r="13" spans="3:9" ht="18.600000000000001" thickBot="1" x14ac:dyDescent="0.4">
      <c r="C13" s="16"/>
      <c r="D13" s="21" t="s">
        <v>5</v>
      </c>
      <c r="E13" s="32">
        <f>E12</f>
        <v>1078</v>
      </c>
      <c r="G13" s="16"/>
      <c r="H13" s="21" t="s">
        <v>5</v>
      </c>
      <c r="I13" s="32">
        <f>SUM(I12:I12)</f>
        <v>1345</v>
      </c>
    </row>
    <row r="14" spans="3:9" ht="18" x14ac:dyDescent="0.35">
      <c r="C14" s="34"/>
      <c r="D14" s="35"/>
      <c r="E14" s="36"/>
    </row>
    <row r="15" spans="3:9" ht="15" thickBot="1" x14ac:dyDescent="0.35"/>
    <row r="16" spans="3:9" ht="18" x14ac:dyDescent="0.35">
      <c r="C16" s="46" t="s">
        <v>28</v>
      </c>
      <c r="D16" s="47"/>
      <c r="E16" s="48"/>
      <c r="G16" s="46" t="s">
        <v>27</v>
      </c>
      <c r="H16" s="47"/>
      <c r="I16" s="48"/>
    </row>
    <row r="17" spans="3:9" ht="18" x14ac:dyDescent="0.35">
      <c r="C17" s="18" t="s">
        <v>7</v>
      </c>
      <c r="D17" s="19" t="s">
        <v>8</v>
      </c>
      <c r="E17" s="20" t="s">
        <v>2</v>
      </c>
      <c r="G17" s="18" t="s">
        <v>7</v>
      </c>
      <c r="H17" s="19" t="s">
        <v>8</v>
      </c>
      <c r="I17" s="20" t="s">
        <v>2</v>
      </c>
    </row>
    <row r="18" spans="3:9" ht="18" x14ac:dyDescent="0.35">
      <c r="C18" s="15">
        <v>46121</v>
      </c>
      <c r="D18" s="2" t="s">
        <v>19</v>
      </c>
      <c r="E18" s="17">
        <v>1971</v>
      </c>
      <c r="G18" s="15">
        <v>46304</v>
      </c>
      <c r="H18" s="2" t="s">
        <v>26</v>
      </c>
      <c r="I18" s="17">
        <v>2000</v>
      </c>
    </row>
    <row r="19" spans="3:9" ht="18.600000000000001" thickBot="1" x14ac:dyDescent="0.4">
      <c r="C19" s="16"/>
      <c r="D19" s="21" t="s">
        <v>5</v>
      </c>
      <c r="E19" s="32">
        <f>E18</f>
        <v>1971</v>
      </c>
      <c r="G19" s="15"/>
      <c r="H19" s="2" t="s">
        <v>23</v>
      </c>
      <c r="I19" s="17">
        <v>1000</v>
      </c>
    </row>
    <row r="20" spans="3:9" ht="18.600000000000001" thickBot="1" x14ac:dyDescent="0.4">
      <c r="G20" s="16"/>
      <c r="H20" s="21" t="s">
        <v>5</v>
      </c>
      <c r="I20" s="32">
        <f>I19</f>
        <v>1000</v>
      </c>
    </row>
  </sheetData>
  <mergeCells count="6">
    <mergeCell ref="C4:E4"/>
    <mergeCell ref="C10:E10"/>
    <mergeCell ref="G10:I10"/>
    <mergeCell ref="G16:I16"/>
    <mergeCell ref="C16:E16"/>
    <mergeCell ref="G4:I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FCFD7-DD28-47C5-AA65-2A777B91DF93}">
  <dimension ref="D4:F13"/>
  <sheetViews>
    <sheetView workbookViewId="0">
      <selection activeCell="D8" sqref="D8"/>
    </sheetView>
  </sheetViews>
  <sheetFormatPr defaultRowHeight="14.4" x14ac:dyDescent="0.3"/>
  <cols>
    <col min="4" max="4" width="10.5546875" bestFit="1" customWidth="1"/>
    <col min="5" max="5" width="43.33203125" bestFit="1" customWidth="1"/>
    <col min="6" max="6" width="11.21875" bestFit="1" customWidth="1"/>
  </cols>
  <sheetData>
    <row r="4" spans="4:6" ht="15" thickBot="1" x14ac:dyDescent="0.35"/>
    <row r="5" spans="4:6" ht="15.6" x14ac:dyDescent="0.3">
      <c r="D5" s="49" t="s">
        <v>14</v>
      </c>
      <c r="E5" s="50"/>
      <c r="F5" s="51"/>
    </row>
    <row r="6" spans="4:6" ht="15.6" x14ac:dyDescent="0.3">
      <c r="D6" s="12" t="s">
        <v>0</v>
      </c>
      <c r="E6" s="10" t="s">
        <v>8</v>
      </c>
      <c r="F6" s="13" t="s">
        <v>2</v>
      </c>
    </row>
    <row r="7" spans="4:6" ht="15.6" x14ac:dyDescent="0.3">
      <c r="D7" s="4">
        <v>46031</v>
      </c>
      <c r="E7" s="2" t="s">
        <v>14</v>
      </c>
      <c r="F7" s="5">
        <v>281.98</v>
      </c>
    </row>
    <row r="8" spans="4:6" ht="16.2" thickBot="1" x14ac:dyDescent="0.35">
      <c r="D8" s="7"/>
      <c r="E8" s="11" t="s">
        <v>5</v>
      </c>
      <c r="F8" s="33">
        <f>SUM(F7)</f>
        <v>281.98</v>
      </c>
    </row>
    <row r="9" spans="4:6" ht="15" thickBot="1" x14ac:dyDescent="0.35"/>
    <row r="10" spans="4:6" ht="15.6" x14ac:dyDescent="0.3">
      <c r="D10" s="49" t="s">
        <v>25</v>
      </c>
      <c r="E10" s="50"/>
      <c r="F10" s="51"/>
    </row>
    <row r="11" spans="4:6" ht="15.6" x14ac:dyDescent="0.3">
      <c r="D11" s="12" t="s">
        <v>0</v>
      </c>
      <c r="E11" s="10" t="s">
        <v>8</v>
      </c>
      <c r="F11" s="13" t="s">
        <v>2</v>
      </c>
    </row>
    <row r="12" spans="4:6" ht="15.6" x14ac:dyDescent="0.3">
      <c r="D12" s="4">
        <v>46031</v>
      </c>
      <c r="E12" s="2" t="s">
        <v>22</v>
      </c>
      <c r="F12" s="5">
        <v>10000</v>
      </c>
    </row>
    <row r="13" spans="4:6" ht="16.2" thickBot="1" x14ac:dyDescent="0.35">
      <c r="D13" s="7"/>
      <c r="E13" s="11" t="s">
        <v>5</v>
      </c>
      <c r="F13" s="33">
        <f>SUM(F12:F12)</f>
        <v>10000</v>
      </c>
    </row>
  </sheetData>
  <mergeCells count="2">
    <mergeCell ref="D5:F5"/>
    <mergeCell ref="D10:F10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44BFA-4069-4F61-B8B4-1B31AEEA06D0}">
  <dimension ref="A1:C13"/>
  <sheetViews>
    <sheetView workbookViewId="0">
      <selection activeCell="A8" sqref="A8"/>
    </sheetView>
  </sheetViews>
  <sheetFormatPr defaultRowHeight="14.4" x14ac:dyDescent="0.3"/>
  <cols>
    <col min="1" max="1" width="40.77734375" bestFit="1" customWidth="1"/>
    <col min="2" max="3" width="13.33203125" bestFit="1" customWidth="1"/>
  </cols>
  <sheetData>
    <row r="1" spans="1:3" ht="18" x14ac:dyDescent="0.35">
      <c r="A1" s="46" t="s">
        <v>29</v>
      </c>
      <c r="B1" s="47"/>
      <c r="C1" s="48"/>
    </row>
    <row r="2" spans="1:3" ht="18" x14ac:dyDescent="0.35">
      <c r="A2" s="25" t="s">
        <v>8</v>
      </c>
      <c r="B2" s="23" t="s">
        <v>10</v>
      </c>
      <c r="C2" s="26" t="s">
        <v>11</v>
      </c>
    </row>
    <row r="3" spans="1:3" ht="18" x14ac:dyDescent="0.35">
      <c r="A3" s="27" t="s">
        <v>14</v>
      </c>
      <c r="B3" s="23">
        <v>281.98</v>
      </c>
      <c r="C3" s="17"/>
    </row>
    <row r="4" spans="1:3" ht="18" x14ac:dyDescent="0.35">
      <c r="A4" s="27" t="s">
        <v>16</v>
      </c>
      <c r="B4" s="23">
        <v>10000</v>
      </c>
      <c r="C4" s="17"/>
    </row>
    <row r="5" spans="1:3" ht="18" x14ac:dyDescent="0.35">
      <c r="A5" s="27" t="s">
        <v>28</v>
      </c>
      <c r="B5" s="23"/>
      <c r="C5" s="26">
        <v>1971</v>
      </c>
    </row>
    <row r="6" spans="1:3" ht="18" x14ac:dyDescent="0.35">
      <c r="A6" s="28" t="s">
        <v>9</v>
      </c>
      <c r="B6" s="22"/>
      <c r="C6" s="29">
        <v>807</v>
      </c>
    </row>
    <row r="7" spans="1:3" ht="18" x14ac:dyDescent="0.35">
      <c r="A7" s="28" t="s">
        <v>55</v>
      </c>
      <c r="B7" s="22"/>
      <c r="C7" s="29">
        <v>1345</v>
      </c>
    </row>
    <row r="8" spans="1:3" ht="18" x14ac:dyDescent="0.35">
      <c r="A8" s="28" t="s">
        <v>15</v>
      </c>
      <c r="B8" s="22"/>
      <c r="C8" s="29">
        <v>1078</v>
      </c>
    </row>
    <row r="9" spans="1:3" ht="18" x14ac:dyDescent="0.35">
      <c r="A9" s="28" t="s">
        <v>27</v>
      </c>
      <c r="B9" s="22"/>
      <c r="C9" s="29">
        <v>3000</v>
      </c>
    </row>
    <row r="10" spans="1:3" ht="18" x14ac:dyDescent="0.35">
      <c r="A10" s="28" t="s">
        <v>54</v>
      </c>
      <c r="B10" s="22"/>
      <c r="C10" s="29">
        <v>1410</v>
      </c>
    </row>
    <row r="11" spans="1:3" ht="18" x14ac:dyDescent="0.35">
      <c r="A11" s="25" t="s">
        <v>12</v>
      </c>
      <c r="B11" s="23">
        <f>SUM(B3:B6)</f>
        <v>10281.98</v>
      </c>
      <c r="C11" s="26">
        <f>SUM(C3:C10)</f>
        <v>9611</v>
      </c>
    </row>
    <row r="12" spans="1:3" ht="18" x14ac:dyDescent="0.35">
      <c r="A12" s="25" t="s">
        <v>4</v>
      </c>
      <c r="B12" s="24"/>
      <c r="C12" s="26">
        <f>B11-C11</f>
        <v>670.97999999999956</v>
      </c>
    </row>
    <row r="13" spans="1:3" ht="18.600000000000001" thickBot="1" x14ac:dyDescent="0.4">
      <c r="A13" s="30" t="s">
        <v>13</v>
      </c>
      <c r="B13" s="31">
        <f>SUM(B11:B12)</f>
        <v>10281.98</v>
      </c>
      <c r="C13" s="32">
        <f>SUM(C11:C12)</f>
        <v>10281.98</v>
      </c>
    </row>
  </sheetData>
  <mergeCells count="1">
    <mergeCell ref="A1:C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9A5A0-552A-4BF2-9257-F194074E73B6}">
  <dimension ref="E2:H25"/>
  <sheetViews>
    <sheetView workbookViewId="0">
      <selection activeCell="F7" sqref="F7"/>
    </sheetView>
  </sheetViews>
  <sheetFormatPr defaultRowHeight="14.4" x14ac:dyDescent="0.3"/>
  <cols>
    <col min="5" max="5" width="11.6640625" bestFit="1" customWidth="1"/>
    <col min="6" max="6" width="45.5546875" bestFit="1" customWidth="1"/>
    <col min="7" max="7" width="11.21875" bestFit="1" customWidth="1"/>
    <col min="8" max="8" width="24.88671875" customWidth="1"/>
  </cols>
  <sheetData>
    <row r="2" spans="5:8" ht="15" thickBot="1" x14ac:dyDescent="0.35"/>
    <row r="3" spans="5:8" ht="18" x14ac:dyDescent="0.35">
      <c r="E3" s="46" t="s">
        <v>52</v>
      </c>
      <c r="F3" s="47"/>
      <c r="G3" s="47"/>
      <c r="H3" s="48"/>
    </row>
    <row r="4" spans="5:8" ht="15.6" x14ac:dyDescent="0.3">
      <c r="E4" s="12" t="s">
        <v>0</v>
      </c>
      <c r="F4" s="10" t="s">
        <v>8</v>
      </c>
      <c r="G4" s="10" t="s">
        <v>30</v>
      </c>
      <c r="H4" s="13" t="s">
        <v>31</v>
      </c>
    </row>
    <row r="5" spans="5:8" ht="15.6" x14ac:dyDescent="0.3">
      <c r="E5" s="39">
        <v>46031</v>
      </c>
      <c r="F5" s="2" t="s">
        <v>14</v>
      </c>
      <c r="G5" s="3">
        <v>0</v>
      </c>
      <c r="H5" s="9">
        <v>15000</v>
      </c>
    </row>
    <row r="6" spans="5:8" ht="15.6" x14ac:dyDescent="0.3">
      <c r="E6" s="40"/>
      <c r="F6" s="2" t="s">
        <v>32</v>
      </c>
      <c r="G6" s="3">
        <v>0</v>
      </c>
      <c r="H6" s="5">
        <v>6000</v>
      </c>
    </row>
    <row r="7" spans="5:8" ht="15.6" x14ac:dyDescent="0.3">
      <c r="E7" s="39">
        <v>46062</v>
      </c>
      <c r="F7" s="2" t="s">
        <v>33</v>
      </c>
      <c r="G7" s="3">
        <v>0</v>
      </c>
      <c r="H7" s="5">
        <v>50000</v>
      </c>
    </row>
    <row r="8" spans="5:8" ht="15.6" x14ac:dyDescent="0.3">
      <c r="E8" s="39">
        <v>46182</v>
      </c>
      <c r="F8" s="2" t="s">
        <v>34</v>
      </c>
      <c r="G8" s="3">
        <v>0</v>
      </c>
      <c r="H8" s="5">
        <v>5000</v>
      </c>
    </row>
    <row r="9" spans="5:8" ht="15.6" x14ac:dyDescent="0.3">
      <c r="E9" s="39">
        <v>46243</v>
      </c>
      <c r="F9" s="2" t="s">
        <v>35</v>
      </c>
      <c r="G9" s="3">
        <v>0</v>
      </c>
      <c r="H9" s="5">
        <v>10000</v>
      </c>
    </row>
    <row r="10" spans="5:8" ht="15.6" x14ac:dyDescent="0.3">
      <c r="E10" s="39">
        <v>46274</v>
      </c>
      <c r="F10" s="2" t="s">
        <v>36</v>
      </c>
      <c r="G10" s="3">
        <v>0</v>
      </c>
      <c r="H10" s="5">
        <v>25000</v>
      </c>
    </row>
    <row r="11" spans="5:8" ht="15.6" x14ac:dyDescent="0.3">
      <c r="E11" s="40"/>
      <c r="F11" s="2" t="s">
        <v>37</v>
      </c>
      <c r="G11" s="3"/>
      <c r="H11" s="5">
        <v>200000</v>
      </c>
    </row>
    <row r="12" spans="5:8" ht="15.6" x14ac:dyDescent="0.3">
      <c r="E12" s="40"/>
      <c r="F12" s="2" t="s">
        <v>38</v>
      </c>
      <c r="G12" s="3">
        <v>37000</v>
      </c>
      <c r="H12" s="5">
        <v>0</v>
      </c>
    </row>
    <row r="13" spans="5:8" ht="15.6" x14ac:dyDescent="0.3">
      <c r="E13" s="40"/>
      <c r="F13" s="2" t="s">
        <v>39</v>
      </c>
      <c r="G13" s="3"/>
      <c r="H13" s="5">
        <v>30000</v>
      </c>
    </row>
    <row r="14" spans="5:8" ht="15.6" x14ac:dyDescent="0.3">
      <c r="E14" s="39">
        <v>46335</v>
      </c>
      <c r="F14" s="2" t="s">
        <v>40</v>
      </c>
      <c r="G14" s="3"/>
      <c r="H14" s="5">
        <v>5000</v>
      </c>
    </row>
    <row r="15" spans="5:8" ht="15.6" x14ac:dyDescent="0.3">
      <c r="E15" s="40"/>
      <c r="F15" s="2" t="s">
        <v>41</v>
      </c>
      <c r="G15" s="3"/>
      <c r="H15" s="5">
        <v>60000</v>
      </c>
    </row>
    <row r="16" spans="5:8" ht="15.6" x14ac:dyDescent="0.3">
      <c r="E16" s="40"/>
      <c r="F16" s="2" t="s">
        <v>42</v>
      </c>
      <c r="G16" s="3"/>
      <c r="H16" s="5">
        <v>5000</v>
      </c>
    </row>
    <row r="17" spans="5:8" ht="15.6" x14ac:dyDescent="0.3">
      <c r="E17" s="40"/>
      <c r="F17" s="2" t="s">
        <v>43</v>
      </c>
      <c r="G17" s="3"/>
      <c r="H17" s="5">
        <v>10000</v>
      </c>
    </row>
    <row r="18" spans="5:8" ht="15.6" x14ac:dyDescent="0.3">
      <c r="E18" s="40" t="s">
        <v>44</v>
      </c>
      <c r="F18" s="2" t="s">
        <v>45</v>
      </c>
      <c r="G18" s="3"/>
      <c r="H18" s="5">
        <v>3000</v>
      </c>
    </row>
    <row r="19" spans="5:8" ht="15.6" x14ac:dyDescent="0.3">
      <c r="E19" s="40" t="s">
        <v>46</v>
      </c>
      <c r="F19" s="2" t="s">
        <v>47</v>
      </c>
      <c r="G19" s="3"/>
      <c r="H19" s="5">
        <v>25000</v>
      </c>
    </row>
    <row r="20" spans="5:8" ht="15.6" x14ac:dyDescent="0.3">
      <c r="E20" s="40"/>
      <c r="F20" s="2" t="s">
        <v>48</v>
      </c>
      <c r="G20" s="3"/>
      <c r="H20" s="5">
        <v>10000</v>
      </c>
    </row>
    <row r="21" spans="5:8" ht="15.6" x14ac:dyDescent="0.3">
      <c r="E21" s="40"/>
      <c r="F21" s="2" t="s">
        <v>48</v>
      </c>
      <c r="G21" s="3"/>
      <c r="H21" s="5">
        <v>5000</v>
      </c>
    </row>
    <row r="22" spans="5:8" ht="15.6" x14ac:dyDescent="0.3">
      <c r="E22" s="40"/>
      <c r="F22" s="2" t="s">
        <v>49</v>
      </c>
      <c r="G22" s="3"/>
      <c r="H22" s="5">
        <v>25076</v>
      </c>
    </row>
    <row r="23" spans="5:8" ht="15.6" x14ac:dyDescent="0.3">
      <c r="E23" s="40" t="s">
        <v>50</v>
      </c>
      <c r="F23" s="2" t="s">
        <v>51</v>
      </c>
      <c r="G23" s="3"/>
      <c r="H23" s="5">
        <v>3000</v>
      </c>
    </row>
    <row r="24" spans="5:8" ht="15.6" x14ac:dyDescent="0.3">
      <c r="E24" s="6"/>
      <c r="F24" s="10" t="s">
        <v>12</v>
      </c>
      <c r="G24" s="8">
        <f>SUM(G5:G23)</f>
        <v>37000</v>
      </c>
      <c r="H24" s="9">
        <f>SUM(H5:H23)</f>
        <v>492076</v>
      </c>
    </row>
    <row r="25" spans="5:8" ht="16.2" thickBot="1" x14ac:dyDescent="0.35">
      <c r="E25" s="37"/>
      <c r="F25" s="41" t="s">
        <v>24</v>
      </c>
      <c r="G25" s="38"/>
      <c r="H25" s="42">
        <f>H24-G24</f>
        <v>455076</v>
      </c>
    </row>
  </sheetData>
  <mergeCells count="1">
    <mergeCell ref="E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Journal</vt:lpstr>
      <vt:lpstr>Ledger(Expenses)</vt:lpstr>
      <vt:lpstr>Ledger (Income)</vt:lpstr>
      <vt:lpstr>BS</vt:lpstr>
      <vt:lpstr>Bank Reconciliation Statement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 vphilip</dc:creator>
  <cp:lastModifiedBy>cris vphilip</cp:lastModifiedBy>
  <dcterms:created xsi:type="dcterms:W3CDTF">2026-09-20T04:07:39Z</dcterms:created>
  <dcterms:modified xsi:type="dcterms:W3CDTF">2026-09-20T08:59:54Z</dcterms:modified>
</cp:coreProperties>
</file>