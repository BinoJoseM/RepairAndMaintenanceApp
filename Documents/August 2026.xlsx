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TERCHIP\Downloads\Malankara Institute of Theology\"/>
    </mc:Choice>
  </mc:AlternateContent>
  <xr:revisionPtr revIDLastSave="0" documentId="13_ncr:1_{1DCD1557-BB79-4729-8554-4523B264DF7B}" xr6:coauthVersionLast="47" xr6:coauthVersionMax="47" xr10:uidLastSave="{00000000-0000-0000-0000-000000000000}"/>
  <bookViews>
    <workbookView xWindow="-108" yWindow="-108" windowWidth="23256" windowHeight="12456" activeTab="4" xr2:uid="{5B078718-D36D-402F-B5C0-010712FE8335}"/>
  </bookViews>
  <sheets>
    <sheet name="Journal" sheetId="1" r:id="rId1"/>
    <sheet name="Bank Reconciliation Statement" sheetId="5" r:id="rId2"/>
    <sheet name="Ledger(Expenses)" sheetId="2" r:id="rId3"/>
    <sheet name="Ledger (Income)" sheetId="3" r:id="rId4"/>
    <sheet name="B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1" i="5" l="1"/>
  <c r="I10" i="5"/>
  <c r="H10" i="5"/>
  <c r="H11" i="5"/>
  <c r="C6" i="4" l="1"/>
  <c r="F8" i="3"/>
  <c r="E8" i="1"/>
  <c r="D8" i="1"/>
  <c r="E13" i="2"/>
  <c r="B6" i="4" l="1"/>
  <c r="B8" i="4" s="1"/>
  <c r="E7" i="2"/>
  <c r="C7" i="4" l="1"/>
  <c r="C8" i="4" s="1"/>
  <c r="D10" i="1" l="1"/>
  <c r="E9" i="1" l="1"/>
  <c r="E10" i="1" s="1"/>
</calcChain>
</file>

<file path=xl/sharedStrings.xml><?xml version="1.0" encoding="utf-8"?>
<sst xmlns="http://schemas.openxmlformats.org/spreadsheetml/2006/main" count="53" uniqueCount="28">
  <si>
    <t>Date</t>
  </si>
  <si>
    <t xml:space="preserve">Particulars </t>
  </si>
  <si>
    <t>Amount</t>
  </si>
  <si>
    <t>Amount(Rs)</t>
  </si>
  <si>
    <t>Closing Balance</t>
  </si>
  <si>
    <t>Grand Total</t>
  </si>
  <si>
    <t xml:space="preserve"> Total</t>
  </si>
  <si>
    <t xml:space="preserve">Date </t>
  </si>
  <si>
    <t>Particulars</t>
  </si>
  <si>
    <t>Food &amp; Refreshment Expenses</t>
  </si>
  <si>
    <t>Dr(rs)</t>
  </si>
  <si>
    <t>Cr(rs)</t>
  </si>
  <si>
    <t>Total</t>
  </si>
  <si>
    <t>GRAND TOTAL</t>
  </si>
  <si>
    <t>Daily Transactions for the month of August 2026</t>
  </si>
  <si>
    <t>Opening Balance</t>
  </si>
  <si>
    <t>31/8/2026</t>
  </si>
  <si>
    <t>Edibles</t>
  </si>
  <si>
    <t>Closing Balance as on 31/08/2026</t>
  </si>
  <si>
    <t>Cleaning items</t>
  </si>
  <si>
    <t>Glass Cleaner,handwash etc..</t>
  </si>
  <si>
    <t>Cleaning Items</t>
  </si>
  <si>
    <t>Balance Sheet of the August 2026</t>
  </si>
  <si>
    <t>Donation given to Bank (Preshy)</t>
  </si>
  <si>
    <t>Cr(Rs)</t>
  </si>
  <si>
    <t>Dr(Rs)</t>
  </si>
  <si>
    <t>Bank Reconciliation Statement as on 31/08/2026</t>
  </si>
  <si>
    <t>Donation given to Bank(Sunny Samuel)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</si>
</sst>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1" xfId="0" applyFont="1" applyBorder="1"/>
    <xf numFmtId="43" fontId="4" fillId="0" borderId="1" xfId="1" applyFont="1" applyBorder="1"/>
    <xf numFmtId="14" fontId="4" fillId="0" borderId="5" xfId="0" applyNumberFormat="1" applyFont="1" applyBorder="1"/>
    <xf numFmtId="43" fontId="4" fillId="0" borderId="6" xfId="1" applyFont="1" applyBorder="1"/>
    <xf numFmtId="0" fontId="4" fillId="0" borderId="5" xfId="0" applyFont="1" applyBorder="1"/>
    <xf numFmtId="0" fontId="4" fillId="0" borderId="7" xfId="0" applyFont="1" applyBorder="1"/>
    <xf numFmtId="43" fontId="5" fillId="0" borderId="1" xfId="1" applyFont="1" applyBorder="1"/>
    <xf numFmtId="43" fontId="5" fillId="0" borderId="6" xfId="1" applyFont="1" applyBorder="1"/>
    <xf numFmtId="0" fontId="5" fillId="0" borderId="1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6" xfId="0" applyFont="1" applyBorder="1"/>
    <xf numFmtId="43" fontId="5" fillId="0" borderId="8" xfId="0" applyNumberFormat="1" applyFont="1" applyBorder="1"/>
    <xf numFmtId="43" fontId="5" fillId="0" borderId="9" xfId="0" applyNumberFormat="1" applyFont="1" applyBorder="1"/>
    <xf numFmtId="0" fontId="6" fillId="0" borderId="1" xfId="0" applyFont="1" applyBorder="1"/>
    <xf numFmtId="14" fontId="6" fillId="0" borderId="5" xfId="0" applyNumberFormat="1" applyFont="1" applyBorder="1"/>
    <xf numFmtId="0" fontId="6" fillId="0" borderId="7" xfId="0" applyFont="1" applyBorder="1"/>
    <xf numFmtId="43" fontId="6" fillId="0" borderId="6" xfId="1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1" xfId="0" applyFont="1" applyBorder="1" applyAlignment="1">
      <alignment horizontal="center"/>
    </xf>
    <xf numFmtId="43" fontId="7" fillId="0" borderId="1" xfId="1" applyFont="1" applyBorder="1"/>
    <xf numFmtId="43" fontId="6" fillId="0" borderId="1" xfId="1" applyFont="1" applyBorder="1"/>
    <xf numFmtId="0" fontId="7" fillId="2" borderId="5" xfId="0" applyFont="1" applyFill="1" applyBorder="1"/>
    <xf numFmtId="43" fontId="7" fillId="0" borderId="6" xfId="1" applyFont="1" applyBorder="1"/>
    <xf numFmtId="0" fontId="8" fillId="2" borderId="5" xfId="0" applyFont="1" applyFill="1" applyBorder="1"/>
    <xf numFmtId="0" fontId="6" fillId="0" borderId="5" xfId="0" applyFont="1" applyBorder="1" applyAlignment="1">
      <alignment horizontal="left" vertical="top"/>
    </xf>
    <xf numFmtId="43" fontId="7" fillId="0" borderId="6" xfId="1" applyFont="1" applyBorder="1" applyAlignment="1">
      <alignment horizontal="center"/>
    </xf>
    <xf numFmtId="0" fontId="7" fillId="2" borderId="7" xfId="0" applyFont="1" applyFill="1" applyBorder="1"/>
    <xf numFmtId="43" fontId="7" fillId="0" borderId="8" xfId="1" applyFont="1" applyBorder="1"/>
    <xf numFmtId="43" fontId="7" fillId="0" borderId="9" xfId="1" applyFont="1" applyBorder="1"/>
    <xf numFmtId="43" fontId="5" fillId="0" borderId="9" xfId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5" fillId="0" borderId="8" xfId="1" applyFont="1" applyBorder="1"/>
    <xf numFmtId="0" fontId="4" fillId="0" borderId="11" xfId="0" applyFont="1" applyBorder="1"/>
    <xf numFmtId="43" fontId="4" fillId="0" borderId="11" xfId="1" applyFont="1" applyBorder="1"/>
    <xf numFmtId="14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/>
    <xf numFmtId="43" fontId="5" fillId="0" borderId="1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7B79-1631-4582-ADEA-BE1377909042}">
  <dimension ref="B2:F10"/>
  <sheetViews>
    <sheetView workbookViewId="0">
      <selection activeCell="C7" sqref="C7"/>
    </sheetView>
  </sheetViews>
  <sheetFormatPr defaultRowHeight="14.4" x14ac:dyDescent="0.3"/>
  <cols>
    <col min="2" max="2" width="10.5546875" bestFit="1" customWidth="1"/>
    <col min="3" max="3" width="43.44140625" customWidth="1"/>
    <col min="4" max="4" width="15.77734375" customWidth="1"/>
    <col min="5" max="5" width="16" bestFit="1" customWidth="1"/>
    <col min="6" max="6" width="33.6640625" customWidth="1"/>
  </cols>
  <sheetData>
    <row r="2" spans="2:6" ht="15" thickBot="1" x14ac:dyDescent="0.35"/>
    <row r="3" spans="2:6" ht="23.4" x14ac:dyDescent="0.45">
      <c r="B3" s="36" t="s">
        <v>14</v>
      </c>
      <c r="C3" s="37"/>
      <c r="D3" s="37"/>
      <c r="E3" s="38"/>
      <c r="F3" s="1"/>
    </row>
    <row r="4" spans="2:6" ht="15.6" x14ac:dyDescent="0.3">
      <c r="B4" s="12" t="s">
        <v>0</v>
      </c>
      <c r="C4" s="10" t="s">
        <v>1</v>
      </c>
      <c r="D4" s="10" t="s">
        <v>3</v>
      </c>
      <c r="E4" s="13" t="s">
        <v>3</v>
      </c>
    </row>
    <row r="5" spans="2:6" ht="15.6" x14ac:dyDescent="0.3">
      <c r="B5" s="4">
        <v>46030</v>
      </c>
      <c r="C5" s="10" t="s">
        <v>15</v>
      </c>
      <c r="D5" s="8">
        <v>1597.98</v>
      </c>
      <c r="E5" s="5">
        <v>0</v>
      </c>
    </row>
    <row r="6" spans="2:6" ht="15.6" x14ac:dyDescent="0.3">
      <c r="B6" s="4" t="s">
        <v>16</v>
      </c>
      <c r="C6" s="2" t="s">
        <v>20</v>
      </c>
      <c r="D6" s="3">
        <v>0</v>
      </c>
      <c r="E6" s="5">
        <v>956</v>
      </c>
    </row>
    <row r="7" spans="2:6" ht="15.6" x14ac:dyDescent="0.3">
      <c r="B7" s="4"/>
      <c r="C7" s="2" t="s">
        <v>17</v>
      </c>
      <c r="D7" s="3"/>
      <c r="E7" s="5">
        <v>360</v>
      </c>
    </row>
    <row r="8" spans="2:6" ht="15.6" x14ac:dyDescent="0.3">
      <c r="B8" s="6"/>
      <c r="C8" s="10" t="s">
        <v>6</v>
      </c>
      <c r="D8" s="8">
        <f>SUM(D5:D7)</f>
        <v>1597.98</v>
      </c>
      <c r="E8" s="8">
        <f>SUM(E5:E7)</f>
        <v>1316</v>
      </c>
    </row>
    <row r="9" spans="2:6" ht="15.6" x14ac:dyDescent="0.3">
      <c r="B9" s="6"/>
      <c r="C9" s="10" t="s">
        <v>18</v>
      </c>
      <c r="D9" s="3">
        <v>0</v>
      </c>
      <c r="E9" s="9">
        <f>D8-E8</f>
        <v>281.98</v>
      </c>
    </row>
    <row r="10" spans="2:6" ht="16.2" thickBot="1" x14ac:dyDescent="0.35">
      <c r="B10" s="7"/>
      <c r="C10" s="11" t="s">
        <v>5</v>
      </c>
      <c r="D10" s="14">
        <f>D8+D9</f>
        <v>1597.98</v>
      </c>
      <c r="E10" s="15">
        <f>E8+E9</f>
        <v>1597.98</v>
      </c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4A74-1977-4EBA-8192-583FCA63C236}">
  <dimension ref="F4:I11"/>
  <sheetViews>
    <sheetView topLeftCell="A2" workbookViewId="0">
      <selection activeCell="F18" sqref="F18"/>
    </sheetView>
  </sheetViews>
  <sheetFormatPr defaultRowHeight="14.4" x14ac:dyDescent="0.3"/>
  <cols>
    <col min="6" max="6" width="12.77734375" customWidth="1"/>
    <col min="7" max="7" width="44.44140625" bestFit="1" customWidth="1"/>
    <col min="8" max="8" width="11.21875" bestFit="1" customWidth="1"/>
    <col min="9" max="9" width="27.44140625" customWidth="1"/>
  </cols>
  <sheetData>
    <row r="4" spans="6:9" ht="15" thickBot="1" x14ac:dyDescent="0.35"/>
    <row r="5" spans="6:9" ht="18" x14ac:dyDescent="0.35">
      <c r="F5" s="39" t="s">
        <v>26</v>
      </c>
      <c r="G5" s="40"/>
      <c r="H5" s="40"/>
      <c r="I5" s="41"/>
    </row>
    <row r="6" spans="6:9" ht="15.6" x14ac:dyDescent="0.3">
      <c r="F6" s="12" t="s">
        <v>0</v>
      </c>
      <c r="G6" s="10" t="s">
        <v>8</v>
      </c>
      <c r="H6" s="10" t="s">
        <v>25</v>
      </c>
      <c r="I6" s="13" t="s">
        <v>24</v>
      </c>
    </row>
    <row r="7" spans="6:9" ht="15.6" x14ac:dyDescent="0.3">
      <c r="F7" s="48">
        <v>46030</v>
      </c>
      <c r="G7" s="2" t="s">
        <v>15</v>
      </c>
      <c r="H7" s="3">
        <v>0</v>
      </c>
      <c r="I7" s="9">
        <v>0</v>
      </c>
    </row>
    <row r="8" spans="6:9" ht="15.6" x14ac:dyDescent="0.3">
      <c r="F8" s="49" t="s">
        <v>16</v>
      </c>
      <c r="G8" s="2" t="s">
        <v>23</v>
      </c>
      <c r="H8" s="3">
        <v>0</v>
      </c>
      <c r="I8" s="5">
        <v>10000</v>
      </c>
    </row>
    <row r="9" spans="6:9" ht="15.6" x14ac:dyDescent="0.3">
      <c r="F9" s="48"/>
      <c r="G9" s="46" t="s">
        <v>27</v>
      </c>
      <c r="H9" s="3">
        <v>0</v>
      </c>
      <c r="I9" s="5">
        <v>5000</v>
      </c>
    </row>
    <row r="10" spans="6:9" ht="15.6" x14ac:dyDescent="0.3">
      <c r="F10" s="50"/>
      <c r="G10" s="51" t="s">
        <v>12</v>
      </c>
      <c r="H10" s="47">
        <f>SUM(H7:H9)</f>
        <v>0</v>
      </c>
      <c r="I10" s="52">
        <f>SUM(I7:I9)</f>
        <v>15000</v>
      </c>
    </row>
    <row r="11" spans="6:9" ht="16.2" thickBot="1" x14ac:dyDescent="0.35">
      <c r="F11" s="7"/>
      <c r="G11" s="11" t="s">
        <v>18</v>
      </c>
      <c r="H11" s="45">
        <f>SUM(H7:H9)</f>
        <v>0</v>
      </c>
      <c r="I11" s="35">
        <f>I10-H10</f>
        <v>15000</v>
      </c>
    </row>
  </sheetData>
  <mergeCells count="1">
    <mergeCell ref="F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A4F29-343D-4523-8F95-2A9F1D0960D4}">
  <dimension ref="C3:E13"/>
  <sheetViews>
    <sheetView workbookViewId="0">
      <selection activeCell="D12" sqref="D12"/>
    </sheetView>
  </sheetViews>
  <sheetFormatPr defaultRowHeight="14.4" x14ac:dyDescent="0.3"/>
  <cols>
    <col min="3" max="3" width="12.33203125" bestFit="1" customWidth="1"/>
    <col min="4" max="4" width="31.6640625" bestFit="1" customWidth="1"/>
    <col min="5" max="5" width="13.33203125" bestFit="1" customWidth="1"/>
  </cols>
  <sheetData>
    <row r="3" spans="3:5" ht="15" thickBot="1" x14ac:dyDescent="0.35"/>
    <row r="4" spans="3:5" ht="18" x14ac:dyDescent="0.35">
      <c r="C4" s="39" t="s">
        <v>9</v>
      </c>
      <c r="D4" s="40"/>
      <c r="E4" s="41"/>
    </row>
    <row r="5" spans="3:5" ht="18" x14ac:dyDescent="0.35">
      <c r="C5" s="20" t="s">
        <v>7</v>
      </c>
      <c r="D5" s="21" t="s">
        <v>8</v>
      </c>
      <c r="E5" s="22" t="s">
        <v>2</v>
      </c>
    </row>
    <row r="6" spans="3:5" ht="18" x14ac:dyDescent="0.35">
      <c r="C6" s="17" t="s">
        <v>16</v>
      </c>
      <c r="D6" s="16" t="s">
        <v>17</v>
      </c>
      <c r="E6" s="19">
        <v>360</v>
      </c>
    </row>
    <row r="7" spans="3:5" ht="18.600000000000001" thickBot="1" x14ac:dyDescent="0.4">
      <c r="C7" s="18"/>
      <c r="D7" s="23" t="s">
        <v>5</v>
      </c>
      <c r="E7" s="34">
        <f>E6</f>
        <v>360</v>
      </c>
    </row>
    <row r="9" spans="3:5" ht="15" thickBot="1" x14ac:dyDescent="0.35"/>
    <row r="10" spans="3:5" ht="18" x14ac:dyDescent="0.35">
      <c r="C10" s="39" t="s">
        <v>19</v>
      </c>
      <c r="D10" s="40"/>
      <c r="E10" s="41"/>
    </row>
    <row r="11" spans="3:5" ht="18" x14ac:dyDescent="0.35">
      <c r="C11" s="20" t="s">
        <v>7</v>
      </c>
      <c r="D11" s="21" t="s">
        <v>8</v>
      </c>
      <c r="E11" s="22" t="s">
        <v>2</v>
      </c>
    </row>
    <row r="12" spans="3:5" ht="18" x14ac:dyDescent="0.35">
      <c r="C12" s="17" t="s">
        <v>16</v>
      </c>
      <c r="D12" s="16" t="s">
        <v>20</v>
      </c>
      <c r="E12" s="19">
        <v>956</v>
      </c>
    </row>
    <row r="13" spans="3:5" ht="18.600000000000001" thickBot="1" x14ac:dyDescent="0.4">
      <c r="C13" s="18"/>
      <c r="D13" s="23" t="s">
        <v>5</v>
      </c>
      <c r="E13" s="34">
        <f>E12</f>
        <v>956</v>
      </c>
    </row>
  </sheetData>
  <mergeCells count="2">
    <mergeCell ref="C4:E4"/>
    <mergeCell ref="C10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CFD7-DD28-47C5-AA65-2A777B91DF93}">
  <dimension ref="D4:F8"/>
  <sheetViews>
    <sheetView workbookViewId="0">
      <selection activeCell="J11" sqref="J11"/>
    </sheetView>
  </sheetViews>
  <sheetFormatPr defaultRowHeight="14.4" x14ac:dyDescent="0.3"/>
  <cols>
    <col min="4" max="4" width="10.5546875" bestFit="1" customWidth="1"/>
    <col min="5" max="5" width="43.33203125" bestFit="1" customWidth="1"/>
    <col min="6" max="6" width="11.21875" bestFit="1" customWidth="1"/>
  </cols>
  <sheetData>
    <row r="4" spans="4:6" ht="15" thickBot="1" x14ac:dyDescent="0.35"/>
    <row r="5" spans="4:6" ht="15.6" x14ac:dyDescent="0.3">
      <c r="D5" s="42" t="s">
        <v>15</v>
      </c>
      <c r="E5" s="43"/>
      <c r="F5" s="44"/>
    </row>
    <row r="6" spans="4:6" ht="15.6" x14ac:dyDescent="0.3">
      <c r="D6" s="12" t="s">
        <v>0</v>
      </c>
      <c r="E6" s="10" t="s">
        <v>8</v>
      </c>
      <c r="F6" s="13" t="s">
        <v>2</v>
      </c>
    </row>
    <row r="7" spans="4:6" ht="15.6" x14ac:dyDescent="0.3">
      <c r="D7" s="4">
        <v>46030</v>
      </c>
      <c r="E7" s="2" t="s">
        <v>15</v>
      </c>
      <c r="F7" s="5">
        <v>1597.98</v>
      </c>
    </row>
    <row r="8" spans="4:6" ht="16.2" thickBot="1" x14ac:dyDescent="0.35">
      <c r="D8" s="7"/>
      <c r="E8" s="11" t="s">
        <v>5</v>
      </c>
      <c r="F8" s="35">
        <f>SUM(F7)</f>
        <v>1597.98</v>
      </c>
    </row>
  </sheetData>
  <mergeCells count="1">
    <mergeCell ref="D5:F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4BFA-4069-4F61-B8B4-1B31AEEA06D0}">
  <dimension ref="A1:C8"/>
  <sheetViews>
    <sheetView tabSelected="1" workbookViewId="0">
      <selection activeCell="A8" sqref="A8"/>
    </sheetView>
  </sheetViews>
  <sheetFormatPr defaultRowHeight="14.4" x14ac:dyDescent="0.3"/>
  <cols>
    <col min="1" max="1" width="40.77734375" bestFit="1" customWidth="1"/>
    <col min="2" max="3" width="13.33203125" bestFit="1" customWidth="1"/>
  </cols>
  <sheetData>
    <row r="1" spans="1:3" ht="18" x14ac:dyDescent="0.35">
      <c r="A1" s="39" t="s">
        <v>22</v>
      </c>
      <c r="B1" s="40"/>
      <c r="C1" s="41"/>
    </row>
    <row r="2" spans="1:3" ht="18" x14ac:dyDescent="0.35">
      <c r="A2" s="27" t="s">
        <v>8</v>
      </c>
      <c r="B2" s="25" t="s">
        <v>10</v>
      </c>
      <c r="C2" s="28" t="s">
        <v>11</v>
      </c>
    </row>
    <row r="3" spans="1:3" ht="18" x14ac:dyDescent="0.35">
      <c r="A3" s="29" t="s">
        <v>15</v>
      </c>
      <c r="B3" s="25">
        <v>1597.98</v>
      </c>
      <c r="C3" s="19"/>
    </row>
    <row r="4" spans="1:3" ht="18" x14ac:dyDescent="0.35">
      <c r="A4" s="30" t="s">
        <v>9</v>
      </c>
      <c r="B4" s="24"/>
      <c r="C4" s="31">
        <v>360</v>
      </c>
    </row>
    <row r="5" spans="1:3" ht="18" x14ac:dyDescent="0.35">
      <c r="A5" s="30" t="s">
        <v>21</v>
      </c>
      <c r="B5" s="24"/>
      <c r="C5" s="31">
        <v>956</v>
      </c>
    </row>
    <row r="6" spans="1:3" ht="18" x14ac:dyDescent="0.35">
      <c r="A6" s="27" t="s">
        <v>12</v>
      </c>
      <c r="B6" s="25">
        <f>SUM(B3:B4)</f>
        <v>1597.98</v>
      </c>
      <c r="C6" s="25">
        <f>SUM(C3:C5)</f>
        <v>1316</v>
      </c>
    </row>
    <row r="7" spans="1:3" ht="18" x14ac:dyDescent="0.35">
      <c r="A7" s="27" t="s">
        <v>4</v>
      </c>
      <c r="B7" s="26"/>
      <c r="C7" s="28">
        <f>B6-C6</f>
        <v>281.98</v>
      </c>
    </row>
    <row r="8" spans="1:3" ht="18.600000000000001" thickBot="1" x14ac:dyDescent="0.4">
      <c r="A8" s="32" t="s">
        <v>13</v>
      </c>
      <c r="B8" s="33">
        <f>SUM(B6:B7)</f>
        <v>1597.98</v>
      </c>
      <c r="C8" s="34">
        <f>SUM(C6:C7)</f>
        <v>1597.98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Journal</vt:lpstr>
      <vt:lpstr>Bank Reconciliation Statement</vt:lpstr>
      <vt:lpstr>Ledger(Expenses)</vt:lpstr>
      <vt:lpstr>Ledger (Income)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vphilip</dc:creator>
  <cp:lastModifiedBy>cris vphilip</cp:lastModifiedBy>
  <dcterms:created xsi:type="dcterms:W3CDTF">2026-09-20T04:07:39Z</dcterms:created>
  <dcterms:modified xsi:type="dcterms:W3CDTF">2026-09-20T08:51:23Z</dcterms:modified>
</cp:coreProperties>
</file>